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编年表" state="visible" r:id="rId4"/>
    <sheet sheetId="2" name="人物" state="visible" r:id="rId5"/>
    <sheet sheetId="3" name="记忆代价" state="visible" r:id="rId6"/>
  </sheets>
  <calcPr calcId="171027"/>
</workbook>
</file>

<file path=xl/sharedStrings.xml><?xml version="1.0" encoding="utf-8"?>
<sst xmlns="http://schemas.openxmlformats.org/spreadsheetml/2006/main" count="168" uniqueCount="146">
  <si>
    <t>潮灯町的第十三夜 · 编年表</t>
  </si>
  <si>
    <t>最终正文版：潮历217，澪17岁、莲18岁；十二户包含守灯屋。正常逝者只留名，不复活。</t>
  </si>
  <si>
    <t>序号</t>
  </si>
  <si>
    <t>潮历</t>
  </si>
  <si>
    <t>相对时间</t>
  </si>
  <si>
    <t>事件</t>
  </si>
  <si>
    <t>人物</t>
  </si>
  <si>
    <t>物证与伏笔</t>
  </si>
  <si>
    <t>代价与结果</t>
  </si>
  <si>
    <t>章节</t>
  </si>
  <si>
    <t>1</t>
  </si>
  <si>
    <t>187</t>
  </si>
  <si>
    <t>三十年前（潮历187）</t>
  </si>
  <si>
    <t>海灾后纱婆选择独守，把留名代价交给自己与后继守灯人。</t>
  </si>
  <si>
    <t>纱婆、海灾亲属</t>
  </si>
  <si>
    <t>旧契、家印、相册中仍在的照片</t>
  </si>
  <si>
    <t>长期献出珍惜的记忆，包括女儿出生的哭声；封灯权留在一家。</t>
  </si>
  <si>
    <t>历史</t>
  </si>
  <si>
    <t>2</t>
  </si>
  <si>
    <t>207</t>
  </si>
  <si>
    <t>十年前 · 南堤初见</t>
  </si>
  <si>
    <t>八岁的莲把七岁的澪从浅潮拉起，铜铃撞裂一角。</t>
  </si>
  <si>
    <t>澪、莲</t>
  </si>
  <si>
    <t>缺角铜铃、遗失的小木屐</t>
  </si>
  <si>
    <t>此后他们打灯绳总多绕一圈；初见成为高潮献忆。</t>
  </si>
  <si>
    <t>前史</t>
  </si>
  <si>
    <t>3</t>
  </si>
  <si>
    <t>217</t>
  </si>
  <si>
    <t>五日前 · 第十二夜风暴</t>
  </si>
  <si>
    <t>莲三趟救回浅湾的船，第四趟仍抓缆，随后失名。</t>
  </si>
  <si>
    <t>莲、船匠、获救镇民</t>
  </si>
  <si>
    <t>半根船绳、鱼店账本水渍</t>
  </si>
  <si>
    <t>众人记得船归岸，却认不出救人少年；莲尚有脉搏。</t>
  </si>
  <si>
    <t>前因</t>
  </si>
  <si>
    <t>4</t>
  </si>
  <si>
    <t>调查第一日 · 雨中</t>
  </si>
  <si>
    <t>澪收灯时钩起逆潮而来的无字灯，双结绳尾挂着铜铃。</t>
  </si>
  <si>
    <t>澪、莲、纱婆</t>
  </si>
  <si>
    <t>无字灯、双结灯绳、铜铃</t>
  </si>
  <si>
    <t>名字未能写定；灯芯仍温热，莲随后在雨中出现。</t>
  </si>
  <si>
    <t>一</t>
  </si>
  <si>
    <t>5</t>
  </si>
  <si>
    <t>调查第一日 · 米糕铺</t>
  </si>
  <si>
    <t>失名的莲想见母亲。老板娘看着空碗与柜台身高刻痕流泪。</t>
  </si>
  <si>
    <t>澪、莲、米糕铺老板娘</t>
  </si>
  <si>
    <t>空碗、身高刻痕、温热灯芯</t>
  </si>
  <si>
    <t>莲有脉搏；名字需在后天第十三夜退潮前归岸。</t>
  </si>
  <si>
    <t>二</t>
  </si>
  <si>
    <t>6</t>
  </si>
  <si>
    <t>调查第一日夜</t>
  </si>
  <si>
    <t>澪记下南堤旧事，莲替散开的灯绳打好双结，纱婆握着相册。</t>
  </si>
  <si>
    <t>两页账纸、双结绳、相册</t>
  </si>
  <si>
    <t>莲说价钱太高便算了；澪仍记得初遇与那只未找回的鞋。</t>
  </si>
  <si>
    <t>7</t>
  </si>
  <si>
    <t>调查第二日 · 主灯木座</t>
  </si>
  <si>
    <t>澪拆木座发现旧契，要求纱婆念清历次献忆与学徒继承的账。</t>
  </si>
  <si>
    <t>澪、纱婆</t>
  </si>
  <si>
    <t>封蜡、旧契、学徒印、相册照片</t>
  </si>
  <si>
    <t>女儿出生哭声等往事已失；记录与照片不能返还亲历感受。</t>
  </si>
  <si>
    <t>三</t>
  </si>
  <si>
    <t>8</t>
  </si>
  <si>
    <t>调查第二日 · 众守条款</t>
  </si>
  <si>
    <t>澪刮开家印下封蜡，读到众见则众守，各以一忆留名。</t>
  </si>
  <si>
    <t>被印压住的众守刻字、小凿</t>
  </si>
  <si>
    <t>须毁家印交出封灯权；逝者只可留名，有脉搏的莲可以归岸。</t>
  </si>
  <si>
    <t>9</t>
  </si>
  <si>
    <t>调查第二日至第三日</t>
  </si>
  <si>
    <t>澪公开抄契，逐户说明代价与退场权，连同守灯屋共有十二户。</t>
  </si>
  <si>
    <t>澪、十一户邻居</t>
  </si>
  <si>
    <t>码头契约、米糕铺抄本、新双结绳</t>
  </si>
  <si>
    <t>十一邻户与守灯屋各献一段；澪代表守灯屋交出南堤初见。</t>
  </si>
  <si>
    <t>10</t>
  </si>
  <si>
    <t>第十三夜 · 退潮前</t>
  </si>
  <si>
    <t>十二家各放灯架；本人复述意愿并触灯，有人听完代价后退出。</t>
  </si>
  <si>
    <t>十二户、澪、纱婆、莲</t>
  </si>
  <si>
    <t>灯上名字与献忆、留出的退场空隙</t>
  </si>
  <si>
    <t>米糕铺交求婚夜，船匠交首次造船成功，鱼店交首次获准出海。</t>
  </si>
  <si>
    <t>四</t>
  </si>
  <si>
    <t>11</t>
  </si>
  <si>
    <t>第十三夜 · 毁印归名</t>
  </si>
  <si>
    <t>米糕铺愿共同照看纱婆女儿的灯，纱婆敲碎家印。灯芯连成海岸。</t>
  </si>
  <si>
    <t>纱婆、澪、莲、十二户</t>
  </si>
  <si>
    <t>小凿、照片、主灯、铜铃</t>
  </si>
  <si>
    <t>十二户共献十二段；澪失初见但手艺仍在。逝者影子散去，莲留下鞋印。</t>
  </si>
  <si>
    <t>12</t>
  </si>
  <si>
    <t>218</t>
  </si>
  <si>
    <t>翌年 · 第一灯夜前</t>
  </si>
  <si>
    <t>守灯屋钥匙共享、轮值已建立。十二家把灯架接到新修的外堤。</t>
  </si>
  <si>
    <t>澪、莲、纱婆、米糕铺、船匠</t>
  </si>
  <si>
    <t>三把钥匙、轮值安排、小木屐、铜铃</t>
  </si>
  <si>
    <t>已交初见不回来；莲每天重讲找鞋故事，两人共同拉紧灯绳。</t>
  </si>
  <si>
    <t>五</t>
  </si>
  <si>
    <t>潮灯町的第十三夜 · 人物</t>
  </si>
  <si>
    <t>年龄以潮历217为准；纱婆生年与年龄未设定，留空。内容依照已完成的五章正文。</t>
  </si>
  <si>
    <t>出生潮历</t>
  </si>
  <si>
    <t>当前潮历</t>
  </si>
  <si>
    <t>年龄</t>
  </si>
  <si>
    <t>角色与愿望</t>
  </si>
  <si>
    <t>永久代价与选择</t>
  </si>
  <si>
    <t>关联物证</t>
  </si>
  <si>
    <t>澪</t>
  </si>
  <si>
    <t>200</t>
  </si>
  <si>
    <t>纱婆的孙女、灯匠学徒；要救莲，也要求献忆与继承账当面讲清。</t>
  </si>
  <si>
    <t>代表守灯屋自愿交出潮历207南堤初见；修灯手艺仍在。</t>
  </si>
  <si>
    <t>缺角铜铃、双结灯绳、小木屐、两页账纸</t>
  </si>
  <si>
    <t>莲</t>
  </si>
  <si>
    <t>199</t>
  </si>
  <si>
    <t>米糕铺老板娘的儿子；救船失名，尚有脉搏，拒绝澪为他牺牲珍惜的回忆。</t>
  </si>
  <si>
    <t>归岸不能补回澪的初见；愿每天讲找鞋故事，不逼她回旧位置。</t>
  </si>
  <si>
    <t>半根船绳、柜台身高刻痕、遗失木屐</t>
  </si>
  <si>
    <t>纱婆</t>
  </si>
  <si>
    <t/>
  </si>
  <si>
    <t>澪的外婆、旧守灯人；由独守转向公开众守，把封灯权交还镇民。</t>
  </si>
  <si>
    <t>旧契长期取走珍惜往事，包括女儿出生哭声；高潮敲碎家印、放下独占权。</t>
  </si>
  <si>
    <t>空白感的旧相册、女儿照片、主灯木座、家印、小凿</t>
  </si>
  <si>
    <t>潮灯町的第十三夜 · 记忆代价</t>
  </si>
  <si>
    <t>十二户含守灯屋，每户各交一段；澪代表守灯屋。记录留事实，亲历的感受不返回。</t>
  </si>
  <si>
    <t>承担者与阶段</t>
  </si>
  <si>
    <t>记忆段数</t>
  </si>
  <si>
    <t>自愿交付内容</t>
  </si>
  <si>
    <t>结果</t>
  </si>
  <si>
    <t>边界</t>
  </si>
  <si>
    <t>十一户邻居 · 第十三夜</t>
  </si>
  <si>
    <t>米糕铺求婚夜、船匠首次造船成功、鱼店首次获准出海等。</t>
  </si>
  <si>
    <t>各家见证人当面说明并触灯，连起灯芯。</t>
  </si>
  <si>
    <t>可以退出；普通晚饭不能替代珍惜的往事。</t>
  </si>
  <si>
    <t>守灯屋 · 澪</t>
  </si>
  <si>
    <t>潮历207南堤与莲初遇的记忆。</t>
  </si>
  <si>
    <t>莲名字归岸；澪忘铜铃缺角由来。</t>
  </si>
  <si>
    <t>仍认得莲，修灯手艺仍在。</t>
  </si>
  <si>
    <t>高潮合计</t>
  </si>
  <si>
    <t>仅计十一邻户与守灯屋的独立自愿贡献。</t>
  </si>
  <si>
    <t>预期12；真实SUM公式待完整引擎重算。</t>
  </si>
  <si>
    <t>十二段分属十二户，保留每人单独同意。</t>
  </si>
  <si>
    <t>纱婆 · 潮历187以来</t>
  </si>
  <si>
    <t>母亲乳名、丈夫首次梳头、女儿出生哭声等旧契往事。</t>
  </si>
  <si>
    <t>逝者名字封回灯芯；纱婆承担长期记忆账。</t>
  </si>
  <si>
    <t>段数未给出；照片仍在，亲历感受已失。</t>
  </si>
  <si>
    <t>纱婆 · 第十三夜</t>
  </si>
  <si>
    <t>敲碎家印，交出私有封灯权。</t>
  </si>
  <si>
    <t>主灯开放，各家共同看灯，也照看其女儿名字。</t>
  </si>
  <si>
    <t>本项是权力与控制的放弃，未新增献忆段。</t>
  </si>
  <si>
    <t>逝者与失踪者</t>
  </si>
  <si>
    <t>逝者只留名字；莲有脉搏，可以归岸。</t>
  </si>
  <si>
    <t>逝者影子散去，名字留在灯芯；莲留下真实鞋印。</t>
  </si>
  <si>
    <t>正常逝者不复活，不能借灯唤回澪的母亲。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</si>
</sst>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  <sz val="18"/>
      <name val="Microsoft YaHei"/>
    </font>
    <font>
      <color rgb="FF475569"/>
      <sz val="10"/>
      <name val="Microsoft YaHei"/>
    </font>
    <font>
      <b/>
      <color rgb="FFFFFFFF"/>
      <sz val="11"/>
      <name val="Microsoft YaHei"/>
    </font>
    <font>
      <color rgb="FF334155"/>
      <sz val="11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73B5E"/>
      </patternFill>
    </fill>
    <fill>
      <patternFill patternType="solid">
        <fgColor rgb="FFE8EEF3"/>
      </patternFill>
    </fill>
    <fill>
      <patternFill patternType="solid">
        <fgColor rgb="FFF5F8FB"/>
      </patternFill>
    </fill>
  </fills>
  <borders count="3">
    <border>
      <left/>
      <right/>
      <top/>
      <bottom/>
      <diagonal/>
    </border>
    <border>
      <left style="thin">
        <color rgb="FFD6DEE7"/>
      </left>
      <right style="thin">
        <color rgb="FFD6DEE7"/>
      </right>
      <top style="thin">
        <color rgb="FFD6DEE7"/>
      </top>
      <bottom style="thin">
        <color rgb="FFD6DEE7"/>
      </bottom>
      <diagonal/>
    </border>
    <border>
      <left style="thin">
        <color rgb="FFDCE5EF"/>
      </left>
      <right style="thin">
        <color rgb="FFDCE5EF"/>
      </right>
      <top style="thin">
        <color rgb="FFDCE5EF"/>
      </top>
      <bottom style="thin">
        <color rgb="FFDCE5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24" customWidth="1"/>
    <col min="4" max="4" width="42" customWidth="1"/>
    <col min="5" max="5" width="26" customWidth="1"/>
    <col min="6" max="6" width="32" customWidth="1"/>
    <col min="7" max="7" width="46" customWidth="1"/>
    <col min="8" max="8" width="8" customWidth="1"/>
  </cols>
  <sheetData>
    <row r="1" ht="42" customHeight="1" spans="1:8" s="1" customForma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ht="28" customHeight="1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3" ht="28" customHeight="1" spans="1:8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ht="72" customHeight="1" spans="1:8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ht="72" customHeight="1" spans="1:8" x14ac:dyDescent="0.25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</row>
    <row r="6" ht="72" customHeight="1" spans="1:8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</row>
    <row r="7" ht="72" customHeight="1" spans="1:8" x14ac:dyDescent="0.25">
      <c r="A7" s="5" t="s">
        <v>34</v>
      </c>
      <c r="B7" s="5" t="s">
        <v>27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</row>
    <row r="8" ht="72" customHeight="1" spans="1:8" x14ac:dyDescent="0.25">
      <c r="A8" s="5" t="s">
        <v>41</v>
      </c>
      <c r="B8" s="5" t="s">
        <v>27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46</v>
      </c>
      <c r="H8" s="5" t="s">
        <v>47</v>
      </c>
    </row>
    <row r="9" ht="72" customHeight="1" spans="1:8" x14ac:dyDescent="0.25">
      <c r="A9" s="5" t="s">
        <v>48</v>
      </c>
      <c r="B9" s="5" t="s">
        <v>27</v>
      </c>
      <c r="C9" s="5" t="s">
        <v>49</v>
      </c>
      <c r="D9" s="5" t="s">
        <v>50</v>
      </c>
      <c r="E9" s="5" t="s">
        <v>37</v>
      </c>
      <c r="F9" s="5" t="s">
        <v>51</v>
      </c>
      <c r="G9" s="5" t="s">
        <v>52</v>
      </c>
      <c r="H9" s="5" t="s">
        <v>47</v>
      </c>
    </row>
    <row r="10" ht="72" customHeight="1" spans="1:8" x14ac:dyDescent="0.25">
      <c r="A10" s="5" t="s">
        <v>53</v>
      </c>
      <c r="B10" s="5" t="s">
        <v>27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  <c r="H10" s="5" t="s">
        <v>59</v>
      </c>
    </row>
    <row r="11" ht="72" customHeight="1" spans="1:8" x14ac:dyDescent="0.25">
      <c r="A11" s="5" t="s">
        <v>60</v>
      </c>
      <c r="B11" s="5" t="s">
        <v>27</v>
      </c>
      <c r="C11" s="5" t="s">
        <v>61</v>
      </c>
      <c r="D11" s="5" t="s">
        <v>62</v>
      </c>
      <c r="E11" s="5" t="s">
        <v>56</v>
      </c>
      <c r="F11" s="5" t="s">
        <v>63</v>
      </c>
      <c r="G11" s="5" t="s">
        <v>64</v>
      </c>
      <c r="H11" s="5" t="s">
        <v>59</v>
      </c>
    </row>
    <row r="12" ht="72" customHeight="1" spans="1:8" x14ac:dyDescent="0.25">
      <c r="A12" s="5" t="s">
        <v>65</v>
      </c>
      <c r="B12" s="5" t="s">
        <v>27</v>
      </c>
      <c r="C12" s="5" t="s">
        <v>66</v>
      </c>
      <c r="D12" s="5" t="s">
        <v>67</v>
      </c>
      <c r="E12" s="5" t="s">
        <v>68</v>
      </c>
      <c r="F12" s="5" t="s">
        <v>69</v>
      </c>
      <c r="G12" s="5" t="s">
        <v>70</v>
      </c>
      <c r="H12" s="5" t="s">
        <v>59</v>
      </c>
    </row>
    <row r="13" ht="72" customHeight="1" spans="1:8" x14ac:dyDescent="0.25">
      <c r="A13" s="5" t="s">
        <v>71</v>
      </c>
      <c r="B13" s="5" t="s">
        <v>27</v>
      </c>
      <c r="C13" s="5" t="s">
        <v>72</v>
      </c>
      <c r="D13" s="5" t="s">
        <v>73</v>
      </c>
      <c r="E13" s="5" t="s">
        <v>74</v>
      </c>
      <c r="F13" s="5" t="s">
        <v>75</v>
      </c>
      <c r="G13" s="5" t="s">
        <v>76</v>
      </c>
      <c r="H13" s="5" t="s">
        <v>77</v>
      </c>
    </row>
    <row r="14" ht="72" customHeight="1" spans="1:8" x14ac:dyDescent="0.25">
      <c r="A14" s="5" t="s">
        <v>78</v>
      </c>
      <c r="B14" s="5" t="s">
        <v>27</v>
      </c>
      <c r="C14" s="5" t="s">
        <v>79</v>
      </c>
      <c r="D14" s="5" t="s">
        <v>80</v>
      </c>
      <c r="E14" s="5" t="s">
        <v>81</v>
      </c>
      <c r="F14" s="5" t="s">
        <v>82</v>
      </c>
      <c r="G14" s="5" t="s">
        <v>83</v>
      </c>
      <c r="H14" s="5" t="s">
        <v>77</v>
      </c>
    </row>
    <row r="15" ht="72" customHeight="1" spans="1:8" x14ac:dyDescent="0.25">
      <c r="A15" s="5" t="s">
        <v>84</v>
      </c>
      <c r="B15" s="5" t="s">
        <v>85</v>
      </c>
      <c r="C15" s="5" t="s">
        <v>86</v>
      </c>
      <c r="D15" s="5" t="s">
        <v>87</v>
      </c>
      <c r="E15" s="5" t="s">
        <v>88</v>
      </c>
      <c r="F15" s="5" t="s">
        <v>89</v>
      </c>
      <c r="G15" s="5" t="s">
        <v>90</v>
      </c>
      <c r="H15" s="5" t="s">
        <v>91</v>
      </c>
    </row>
  </sheetData>
  <autoFilter ref="A3:H15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3" width="12" customWidth="1"/>
    <col min="4" max="4" width="8" customWidth="1"/>
    <col min="5" max="6" width="48" customWidth="1"/>
    <col min="7" max="7" width="40" customWidth="1"/>
  </cols>
  <sheetData>
    <row r="1" ht="42" customHeight="1" spans="1:7" x14ac:dyDescent="0.25">
      <c r="A1" s="6" t="s">
        <v>92</v>
      </c>
      <c r="B1" s="6"/>
      <c r="C1" s="6"/>
      <c r="D1" s="6"/>
      <c r="E1" s="6"/>
      <c r="F1" s="6"/>
      <c r="G1" s="6"/>
    </row>
    <row r="2" ht="28" customHeight="1" spans="1:7" x14ac:dyDescent="0.25">
      <c r="A2" s="7" t="s">
        <v>93</v>
      </c>
      <c r="B2" s="7"/>
      <c r="C2" s="7"/>
      <c r="D2" s="7"/>
      <c r="E2" s="7"/>
      <c r="F2" s="7"/>
      <c r="G2" s="7"/>
    </row>
    <row r="3" ht="28" customHeight="1" spans="1:7" x14ac:dyDescent="0.25">
      <c r="A3" s="8" t="s">
        <v>6</v>
      </c>
      <c r="B3" s="8" t="s">
        <v>94</v>
      </c>
      <c r="C3" s="8" t="s">
        <v>95</v>
      </c>
      <c r="D3" s="8" t="s">
        <v>96</v>
      </c>
      <c r="E3" s="8" t="s">
        <v>97</v>
      </c>
      <c r="F3" s="8" t="s">
        <v>98</v>
      </c>
      <c r="G3" s="8" t="s">
        <v>99</v>
      </c>
    </row>
    <row r="4" ht="84" customHeight="1" spans="1:7" x14ac:dyDescent="0.25">
      <c r="A4" s="9" t="s">
        <v>100</v>
      </c>
      <c r="B4" s="9" t="s">
        <v>101</v>
      </c>
      <c r="C4" s="9" t="s">
        <v>27</v>
      </c>
      <c r="D4" s="9">
        <v>17</v>
      </c>
      <c r="E4" s="9" t="s">
        <v>102</v>
      </c>
      <c r="F4" s="9" t="s">
        <v>103</v>
      </c>
      <c r="G4" s="9" t="s">
        <v>104</v>
      </c>
    </row>
    <row r="5" ht="84" customHeight="1" spans="1:7" x14ac:dyDescent="0.25">
      <c r="A5" s="9" t="s">
        <v>105</v>
      </c>
      <c r="B5" s="9" t="s">
        <v>106</v>
      </c>
      <c r="C5" s="9" t="s">
        <v>27</v>
      </c>
      <c r="D5" s="9">
        <v>18</v>
      </c>
      <c r="E5" s="9" t="s">
        <v>107</v>
      </c>
      <c r="F5" s="9" t="s">
        <v>108</v>
      </c>
      <c r="G5" s="9" t="s">
        <v>109</v>
      </c>
    </row>
    <row r="6" ht="84" customHeight="1" spans="1:7" x14ac:dyDescent="0.25">
      <c r="A6" s="9" t="s">
        <v>110</v>
      </c>
      <c r="B6" s="9" t="s">
        <v>111</v>
      </c>
      <c r="C6" s="9" t="s">
        <v>27</v>
      </c>
      <c r="D6" s="9" t="s">
        <v>111</v>
      </c>
      <c r="E6" s="9" t="s">
        <v>112</v>
      </c>
      <c r="F6" s="9" t="s">
        <v>113</v>
      </c>
      <c r="G6" s="9" t="s">
        <v>114</v>
      </c>
    </row>
  </sheetData>
  <autoFilter ref="A3:G6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zoomScale="100" zoomScaleNormal="10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2" customWidth="1"/>
    <col min="3" max="5" width="44" customWidth="1"/>
  </cols>
  <sheetData>
    <row r="1" ht="42" customHeight="1" spans="1:5" x14ac:dyDescent="0.25">
      <c r="A1" s="6" t="s">
        <v>115</v>
      </c>
      <c r="B1" s="6"/>
      <c r="C1" s="6"/>
      <c r="D1" s="6"/>
      <c r="E1" s="6"/>
    </row>
    <row r="2" ht="28" customHeight="1" spans="1:5" x14ac:dyDescent="0.25">
      <c r="A2" s="7" t="s">
        <v>116</v>
      </c>
      <c r="B2" s="7"/>
      <c r="C2" s="7"/>
      <c r="D2" s="7"/>
      <c r="E2" s="7"/>
    </row>
    <row r="3" ht="28" customHeight="1" spans="1:5" x14ac:dyDescent="0.25">
      <c r="A3" s="8" t="s">
        <v>117</v>
      </c>
      <c r="B3" s="8" t="s">
        <v>118</v>
      </c>
      <c r="C3" s="8" t="s">
        <v>119</v>
      </c>
      <c r="D3" s="8" t="s">
        <v>120</v>
      </c>
      <c r="E3" s="8" t="s">
        <v>121</v>
      </c>
    </row>
    <row r="4" ht="72" customHeight="1" spans="1:5" x14ac:dyDescent="0.25">
      <c r="A4" s="9" t="s">
        <v>122</v>
      </c>
      <c r="B4" s="9">
        <v>11</v>
      </c>
      <c r="C4" s="9" t="s">
        <v>123</v>
      </c>
      <c r="D4" s="9" t="s">
        <v>124</v>
      </c>
      <c r="E4" s="9" t="s">
        <v>125</v>
      </c>
    </row>
    <row r="5" ht="72" customHeight="1" spans="1:5" x14ac:dyDescent="0.25">
      <c r="A5" s="9" t="s">
        <v>126</v>
      </c>
      <c r="B5" s="9">
        <v>1</v>
      </c>
      <c r="C5" s="9" t="s">
        <v>127</v>
      </c>
      <c r="D5" s="9" t="s">
        <v>128</v>
      </c>
      <c r="E5" s="9" t="s">
        <v>129</v>
      </c>
    </row>
    <row r="6" ht="72" customHeight="1" spans="1:5" x14ac:dyDescent="0.25">
      <c r="A6" s="9" t="s">
        <v>130</v>
      </c>
      <c r="B6" s="9">
        <f>SUM(B4:B5)</f>
      </c>
      <c r="C6" s="9" t="s">
        <v>131</v>
      </c>
      <c r="D6" s="9" t="s">
        <v>132</v>
      </c>
      <c r="E6" s="9" t="s">
        <v>133</v>
      </c>
    </row>
    <row r="7" ht="72" customHeight="1" spans="1:5" x14ac:dyDescent="0.25">
      <c r="A7" s="9" t="s">
        <v>134</v>
      </c>
      <c r="B7" s="9" t="s">
        <v>111</v>
      </c>
      <c r="C7" s="9" t="s">
        <v>135</v>
      </c>
      <c r="D7" s="9" t="s">
        <v>136</v>
      </c>
      <c r="E7" s="9" t="s">
        <v>137</v>
      </c>
    </row>
    <row r="8" ht="72" customHeight="1" spans="1:5" x14ac:dyDescent="0.25">
      <c r="A8" s="9" t="s">
        <v>138</v>
      </c>
      <c r="B8" s="9" t="s">
        <v>111</v>
      </c>
      <c r="C8" s="9" t="s">
        <v>139</v>
      </c>
      <c r="D8" s="9" t="s">
        <v>140</v>
      </c>
      <c r="E8" s="9" t="s">
        <v>141</v>
      </c>
    </row>
    <row r="9" ht="72" customHeight="1" spans="1:5" x14ac:dyDescent="0.25">
      <c r="A9" s="9" t="s">
        <v>142</v>
      </c>
      <c r="B9" s="9" t="s">
        <v>111</v>
      </c>
      <c r="C9" s="9" t="s">
        <v>143</v>
      </c>
      <c r="D9" s="9" t="s">
        <v>144</v>
      </c>
      <c r="E9" s="9" t="s">
        <v>145</v>
      </c>
    </row>
  </sheetData>
  <autoFilter ref="A3:E9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功能清单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2026-10-13T03:36:43Z</dcterms:created>
  <dcterms:modified xsi:type="dcterms:W3CDTF">2026-10-13T03:36:43Z</dcterms:modified>
</cp:coreProperties>
</file>